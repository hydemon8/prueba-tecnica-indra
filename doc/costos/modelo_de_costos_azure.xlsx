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Sara\Documents\prueba_tecnica_indra\indra\doc\costos\"/>
    </mc:Choice>
  </mc:AlternateContent>
  <xr:revisionPtr revIDLastSave="0" documentId="13_ncr:1_{2B4E4042-5354-41F7-A5D4-1A45B7D487F4}" xr6:coauthVersionLast="47" xr6:coauthVersionMax="47" xr10:uidLastSave="{00000000-0000-0000-0000-000000000000}"/>
  <bookViews>
    <workbookView xWindow="7200" yWindow="4095" windowWidth="21600" windowHeight="11385" xr2:uid="{00000000-000D-0000-FFFF-FFFF00000000}"/>
  </bookViews>
  <sheets>
    <sheet name="Léeme" sheetId="1" r:id="rId1"/>
    <sheet name="Supuestos" sheetId="2" r:id="rId2"/>
    <sheet name="Precios" sheetId="3" r:id="rId3"/>
    <sheet name="Costo mensual" sheetId="4" r:id="rId4"/>
    <sheet name="Caso de negocio" sheetId="5" r:id="rId5"/>
    <sheet name="Escenari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6" l="1"/>
  <c r="E8" i="6"/>
  <c r="G7" i="6"/>
  <c r="E7" i="6"/>
  <c r="G6" i="6"/>
  <c r="E6" i="6"/>
  <c r="G5" i="6"/>
  <c r="E5" i="6"/>
  <c r="G4" i="6"/>
  <c r="E4" i="6"/>
  <c r="B15" i="5"/>
  <c r="B10" i="5"/>
  <c r="B9" i="5"/>
  <c r="B5" i="5"/>
  <c r="D22" i="4"/>
  <c r="F22" i="4" s="1"/>
  <c r="D21" i="4"/>
  <c r="F21" i="4" s="1"/>
  <c r="E18" i="4"/>
  <c r="D6" i="6" s="1"/>
  <c r="D18" i="4"/>
  <c r="F18" i="4" s="1"/>
  <c r="B8" i="5" s="1"/>
  <c r="E13" i="4"/>
  <c r="D13" i="4"/>
  <c r="F13" i="4" s="1"/>
  <c r="E12" i="4"/>
  <c r="D12" i="4"/>
  <c r="F12" i="4" s="1"/>
  <c r="E11" i="4"/>
  <c r="D11" i="4"/>
  <c r="F11" i="4" s="1"/>
  <c r="E10" i="4"/>
  <c r="D10" i="4"/>
  <c r="F10" i="4" s="1"/>
  <c r="E9" i="4"/>
  <c r="D9" i="4"/>
  <c r="F9" i="4" s="1"/>
  <c r="D8" i="4"/>
  <c r="E7" i="4"/>
  <c r="D7" i="4"/>
  <c r="F7" i="4" s="1"/>
  <c r="E6" i="4"/>
  <c r="D6" i="4"/>
  <c r="F6" i="4" s="1"/>
  <c r="D5" i="4"/>
  <c r="D4" i="4"/>
  <c r="C11" i="2"/>
  <c r="B18" i="6" s="1"/>
  <c r="E5" i="4" l="1"/>
  <c r="F5" i="4" s="1"/>
  <c r="D5" i="6"/>
  <c r="D8" i="6"/>
  <c r="D14" i="4"/>
  <c r="D4" i="6"/>
  <c r="D7" i="6"/>
  <c r="C12" i="2"/>
  <c r="B15" i="6"/>
  <c r="B16" i="6"/>
  <c r="B17" i="6"/>
  <c r="E4" i="4"/>
  <c r="B17" i="5" l="1"/>
  <c r="B20" i="5"/>
  <c r="E8" i="4"/>
  <c r="F8" i="4" s="1"/>
  <c r="F4" i="4"/>
  <c r="F14" i="4" l="1"/>
  <c r="B7" i="5" s="1"/>
  <c r="B11" i="5" s="1"/>
  <c r="B19" i="5" s="1"/>
  <c r="B18" i="5"/>
  <c r="B21" i="5"/>
  <c r="B14" i="5"/>
  <c r="B16" i="5"/>
  <c r="E14" i="4"/>
  <c r="B13" i="5" l="1"/>
  <c r="B7" i="6"/>
  <c r="B8" i="6"/>
  <c r="B5" i="6"/>
  <c r="B4" i="6"/>
  <c r="B6" i="6"/>
  <c r="C6" i="6" l="1"/>
  <c r="F6" i="6"/>
  <c r="H6" i="6" s="1"/>
  <c r="I6" i="6" s="1"/>
  <c r="F4" i="6"/>
  <c r="H4" i="6" s="1"/>
  <c r="I4" i="6" s="1"/>
  <c r="C4" i="6"/>
  <c r="F5" i="6"/>
  <c r="H5" i="6" s="1"/>
  <c r="I5" i="6" s="1"/>
  <c r="C5" i="6"/>
  <c r="F8" i="6"/>
  <c r="H8" i="6" s="1"/>
  <c r="I8" i="6" s="1"/>
  <c r="C8" i="6"/>
  <c r="F7" i="6"/>
  <c r="H7" i="6" s="1"/>
  <c r="I7" i="6" s="1"/>
  <c r="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Modelo</author>
  </authors>
  <commentList>
    <comment ref="C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Cambia este valor para ver otro tamaño de planta. La hoja «Escenarios» ya compara 1, 2, 5, 10 y 20 líneas.</t>
        </r>
      </text>
    </comment>
  </commentList>
</comments>
</file>

<file path=xl/sharedStrings.xml><?xml version="1.0" encoding="utf-8"?>
<sst xmlns="http://schemas.openxmlformats.org/spreadsheetml/2006/main" count="413" uniqueCount="301">
  <si>
    <t>Modelo de costos — arquitectura Azure para pick &amp; pack con visión (Reto 6)</t>
  </si>
  <si>
    <t>Qué es: costo mensual de la arquitectura propuesta en Azure y caso de negocio frente a la operación manual actual.</t>
  </si>
  <si>
    <t>Cómo usarlo: cambiar SOLO las celdas con texto azul de la hoja «Supuestos» (y los precios de «Precios» si cambian). Todo lo demás son fórmulas.</t>
  </si>
  <si>
    <t>Colores: texto azul = entrada editable · negro = fórmula · verde = dato traído de otra hoja · relleno amarillo = supuesto sin verificar.</t>
  </si>
  <si>
    <t>Hojas: Supuestos (entradas) · Precios (tarifas de Azure con su medidor) · Costo mensual (por componente) · Caso de negocio · Escenarios.</t>
  </si>
  <si>
    <t>Precios: lista de pago por uso en East US 2, tomados de la API pública de precios de Azure el 2026-10-10. Sin impuestos, descuentos ni reservas.</t>
  </si>
  <si>
    <t>Advertencia: las cifras laborales, de equipo y de inversión son supuestos del autor, no datos del cliente. El caso de negocio no es válido hasta sustituirlos.</t>
  </si>
  <si>
    <t>Documento que lo acompaña: doc/16_arquitectura_azure_y_finops.md.</t>
  </si>
  <si>
    <t>Supuestos del modelo (celdas azules = entradas editables; amarillo = supuesto sin verificar)</t>
  </si>
  <si>
    <t>Grupo</t>
  </si>
  <si>
    <t>Parámetro</t>
  </si>
  <si>
    <t>Valor</t>
  </si>
  <si>
    <t>Unidad</t>
  </si>
  <si>
    <t>Origen / nota</t>
  </si>
  <si>
    <t>Operación</t>
  </si>
  <si>
    <t>Líneas (estaciones) automatizadas</t>
  </si>
  <si>
    <t>líneas</t>
  </si>
  <si>
    <t>Supuesto del caso base. El enunciado no fija el número de estaciones.</t>
  </si>
  <si>
    <t>Segundos por objeto</t>
  </si>
  <si>
    <t>s</t>
  </si>
  <si>
    <t>Supuesto: es el ritmo de la planta simulada del asistente. El enunciado no da la velocidad de línea.</t>
  </si>
  <si>
    <t>Horas de operación por día</t>
  </si>
  <si>
    <t>h</t>
  </si>
  <si>
    <t>Enunciado: 24 horas al día.</t>
  </si>
  <si>
    <t>Días de operación por semana</t>
  </si>
  <si>
    <t>días</t>
  </si>
  <si>
    <t>Enunciado: 5 días a la semana.</t>
  </si>
  <si>
    <t>Semanas por año</t>
  </si>
  <si>
    <t>semanas</t>
  </si>
  <si>
    <t>Calendario.</t>
  </si>
  <si>
    <t>Turnos por día</t>
  </si>
  <si>
    <t>turnos</t>
  </si>
  <si>
    <t>Enunciado: 3 turnos de 8 horas.</t>
  </si>
  <si>
    <t>Operarios por turno por estación (hoy)</t>
  </si>
  <si>
    <t>personas</t>
  </si>
  <si>
    <t>Enunciado: 1 operario por turno por estación.</t>
  </si>
  <si>
    <t>Días de operación por mes</t>
  </si>
  <si>
    <t>Calculado.</t>
  </si>
  <si>
    <t>Objetos por línea por mes</t>
  </si>
  <si>
    <t>objetos</t>
  </si>
  <si>
    <t>Modelo</t>
  </si>
  <si>
    <t>Fracción de objetos que el robot atiende solo (ACT)</t>
  </si>
  <si>
    <t>fracción</t>
  </si>
  <si>
    <t>Resultado medido en el protocolo A (reports/results.json). En planta dependerá de la calidad de captura.</t>
  </si>
  <si>
    <t>Costo laboral</t>
  </si>
  <si>
    <t>Costo mensual cargado de un operario</t>
  </si>
  <si>
    <t>USD/mes</t>
  </si>
  <si>
    <t>SUPUESTO sin verificar: sustituir por el dato de RR. HH. (salario + prestaciones).</t>
  </si>
  <si>
    <t>Personas por turno por línea para atender excepciones</t>
  </si>
  <si>
    <t>FTE</t>
  </si>
  <si>
    <t>SUPUESTO: alguien resuelve la cola de revisión y las segundas capturas. Con 12 % de excepciones, un cuarto de jornada.</t>
  </si>
  <si>
    <t>Dedicación de ingeniería de ML y soporte</t>
  </si>
  <si>
    <t>SUPUESTO: monitoreo, recalibración, altas de producto.</t>
  </si>
  <si>
    <t>Costo mensual cargado de un ingeniero</t>
  </si>
  <si>
    <t>SUPUESTO sin verificar.</t>
  </si>
  <si>
    <t>Inversión</t>
  </si>
  <si>
    <t>Costo único del proyecto (desarrollo, integración con el robot, piloto)</t>
  </si>
  <si>
    <t>USD</t>
  </si>
  <si>
    <t>SUPUESTO sin verificar: depende del plan de proyecto.</t>
  </si>
  <si>
    <t>Borde (planta)</t>
  </si>
  <si>
    <t>PC industrial por estación</t>
  </si>
  <si>
    <t>SUPUESTO sin verificar. No es un servicio de Azure. El modelo corre en CPU (unos 28 ms por imagen medidos).</t>
  </si>
  <si>
    <t>Cámara e iluminación controlada por estación</t>
  </si>
  <si>
    <t>Meses de amortización del equipo</t>
  </si>
  <si>
    <t>meses</t>
  </si>
  <si>
    <t>Supuesto contable.</t>
  </si>
  <si>
    <t>Mantenimiento anual del equipo</t>
  </si>
  <si>
    <t>% del costo</t>
  </si>
  <si>
    <t>Supuesto.</t>
  </si>
  <si>
    <t>Asistente</t>
  </si>
  <si>
    <t>Usuarios activos del asistente por línea</t>
  </si>
  <si>
    <t>usuarios</t>
  </si>
  <si>
    <t>Supuesto: supervisores, calidad, mantenimiento e ingeniería en 3 turnos.</t>
  </si>
  <si>
    <t>Peticiones al asistente por usuario y día</t>
  </si>
  <si>
    <t>peticiones</t>
  </si>
  <si>
    <t>Tokens de entrada por petición</t>
  </si>
  <si>
    <t>tokens</t>
  </si>
  <si>
    <t>MEDIDO: media de 164 ejecuciones de la evaluación (reports/agent_eval.json).</t>
  </si>
  <si>
    <t>Tokens de salida por petición</t>
  </si>
  <si>
    <t>MEDIDO: misma fuente.</t>
  </si>
  <si>
    <t>Fracción de la entrada servida desde caché</t>
  </si>
  <si>
    <t>Palanca FinOps: las instrucciones y los contratos de tools (~3.300 tokens) se repiten en cada llamada.</t>
  </si>
  <si>
    <t>Segundos de CPU activa por petición</t>
  </si>
  <si>
    <t>Medido en pruebas manuales: 2 a 4 s por turno.</t>
  </si>
  <si>
    <t>vCPU del contenedor del asistente</t>
  </si>
  <si>
    <t>vCPU</t>
  </si>
  <si>
    <t>Dimensionamiento.</t>
  </si>
  <si>
    <t>Memoria del contenedor del asistente</t>
  </si>
  <si>
    <t>GiB</t>
  </si>
  <si>
    <t>Visión en nube</t>
  </si>
  <si>
    <t>Inspecciones manuales y de staging por línea y mes</t>
  </si>
  <si>
    <t>imágenes</t>
  </si>
  <si>
    <t>Supuesto. La inferencia de la línea NO pasa por la nube: corre en el borde.</t>
  </si>
  <si>
    <t>vCPU del contenedor de visión en nube</t>
  </si>
  <si>
    <t>Memoria del contenedor de visión en nube</t>
  </si>
  <si>
    <t>Dimensionamiento (modelo de 34,6 MB más dependencias).</t>
  </si>
  <si>
    <t>Segundos facturados por inspección</t>
  </si>
  <si>
    <t>Conservador: la inferencia mide 0,03 s; se factura el segundo de arranque y respuesta.</t>
  </si>
  <si>
    <t>Datos</t>
  </si>
  <si>
    <t>Tamaño de una imagen de planta guardada</t>
  </si>
  <si>
    <t>KB</t>
  </si>
  <si>
    <t>SUPUESTO: cámara industrial comprimida. Las de COIL-100 pesan ~15 KB.</t>
  </si>
  <si>
    <t>Muestra de imágenes ACT que se guarda para monitoreo</t>
  </si>
  <si>
    <t>Supuesto: se guardan todas las no ACT y un 1 % de las ACT.</t>
  </si>
  <si>
    <t>Meses de retención de imágenes</t>
  </si>
  <si>
    <t>Supuesto. Las del dataset de reentrenamiento se conservan aparte.</t>
  </si>
  <si>
    <t>Almacenamiento de PostgreSQL</t>
  </si>
  <si>
    <t>GB</t>
  </si>
  <si>
    <t>Mínimo del servicio; eventos, auditoría y aprobaciones caben de sobra.</t>
  </si>
  <si>
    <t>Observabilidad</t>
  </si>
  <si>
    <t>Registros fijos por mes</t>
  </si>
  <si>
    <t>Supuesto: plataforma y asistente.</t>
  </si>
  <si>
    <t>Registros por línea y mes</t>
  </si>
  <si>
    <t>Supuesto: una línea de auditoría por inferencia (~1 KB) más métricas.</t>
  </si>
  <si>
    <t>Ingesta gratuita mensual de Log Analytics</t>
  </si>
  <si>
    <t>El medidor de la API empieza a cobrar a partir de 5 GB.</t>
  </si>
  <si>
    <t>MLOps</t>
  </si>
  <si>
    <t>Horas de cómputo de entrenamiento por mes</t>
  </si>
  <si>
    <t>Supuesto: el notebook completo tarda ~25 min; reentrenos y validaciones de productos nuevos.</t>
  </si>
  <si>
    <t>Imágenes de contenedor almacenadas</t>
  </si>
  <si>
    <t>La imagen actual pesa 3,6 GB; se guardan pocas versiones.</t>
  </si>
  <si>
    <t>Seguridad</t>
  </si>
  <si>
    <t>Operaciones de Key Vault por mes</t>
  </si>
  <si>
    <t>operaciones</t>
  </si>
  <si>
    <t>Supuesto holgado.</t>
  </si>
  <si>
    <t>Telemetría</t>
  </si>
  <si>
    <t>Unidades de IoT Hub S1</t>
  </si>
  <si>
    <t>unidades</t>
  </si>
  <si>
    <t>Según la documentación de Azure, una unidad S1 admite 400.000 mensajes al día (verificar). Dos líneas generan ~5.800.</t>
  </si>
  <si>
    <t>Constantes</t>
  </si>
  <si>
    <t>Horas por mes</t>
  </si>
  <si>
    <t>Convención de facturación de Azure.</t>
  </si>
  <si>
    <t>Precios de lista de Azure usados por el modelo (USD, región East US 2)</t>
  </si>
  <si>
    <t>Fuente: API pública de precios de Azure, https://prices.azure.com/api/retail/prices, consultada el 2026-10-10. Precio de lista de pago por uso, sin impuestos, descuentos ni reservas.</t>
  </si>
  <si>
    <t>Servicio</t>
  </si>
  <si>
    <t>Medidor (nombre en la API)</t>
  </si>
  <si>
    <t>Precio USD</t>
  </si>
  <si>
    <t>Verificado en la API</t>
  </si>
  <si>
    <t>Nota</t>
  </si>
  <si>
    <t>Azure Container Apps</t>
  </si>
  <si>
    <t>Standard vCPU Active Usage</t>
  </si>
  <si>
    <t>1 segundo</t>
  </si>
  <si>
    <t>sí</t>
  </si>
  <si>
    <t>Standard vCPU Idle Usage</t>
  </si>
  <si>
    <t>Standard Memory Active Usage / Idle Usage</t>
  </si>
  <si>
    <t>1 GiB-segundo</t>
  </si>
  <si>
    <t>Standard Requests</t>
  </si>
  <si>
    <t>1 millón</t>
  </si>
  <si>
    <t>No se descuenta la franquicia gratuita mensual del servicio: el modelo es conservador.</t>
  </si>
  <si>
    <t>Azure OpenAI</t>
  </si>
  <si>
    <t>gpt 4.1 mini Inp glbl Tokens</t>
  </si>
  <si>
    <t>1.000 tokens</t>
  </si>
  <si>
    <t>Despliegue global. En zona de datos: 0,00044.</t>
  </si>
  <si>
    <t>gpt 4.1 mini cached Inp glbl Tokens</t>
  </si>
  <si>
    <t>gpt 4.1 mini Outp glbl Tokens</t>
  </si>
  <si>
    <t>En zona de datos: 0,00176.</t>
  </si>
  <si>
    <t>gpt 4.1 mini Inp Data Zone Tokens</t>
  </si>
  <si>
    <t>Los datos no salen de la zona geográfica elegida.</t>
  </si>
  <si>
    <t>gpt 4.1 mini Outp Data Zone Tokens</t>
  </si>
  <si>
    <t>gpt 4.1 nano Inp glbl Tokens</t>
  </si>
  <si>
    <t>Modelo más pequeño: habría que repetir la evaluación del agente antes de adoptarlo.</t>
  </si>
  <si>
    <t>gpt 4.1 nano Outp glbl Tokens</t>
  </si>
  <si>
    <t>Azure Database for PostgreSQL (servidor flexible)</t>
  </si>
  <si>
    <t>B1MS</t>
  </si>
  <si>
    <t>1 hora</t>
  </si>
  <si>
    <t>En Brazil South el mismo medidor cuesta 0,035: el doble.</t>
  </si>
  <si>
    <t>Almacenamiento aprovisionado</t>
  </si>
  <si>
    <t>1 GB-mes</t>
  </si>
  <si>
    <t>NO</t>
  </si>
  <si>
    <t>NO verificado: la consulta a la API no devolvió este medidor. Valor de referencia; confirmar en la calculadora de Azure.</t>
  </si>
  <si>
    <t>Blob Storage</t>
  </si>
  <si>
    <t>Hot LRS Data Stored</t>
  </si>
  <si>
    <t>Hot LRS Write Operations</t>
  </si>
  <si>
    <t>10.000 operaciones</t>
  </si>
  <si>
    <t>IoT Hub</t>
  </si>
  <si>
    <t>S1 Unit</t>
  </si>
  <si>
    <t>1 unidad-mes</t>
  </si>
  <si>
    <t>El nivel básico (B1, 10 USD) no admite IoT Edge según la documentación (verificar).</t>
  </si>
  <si>
    <t>Container Registry</t>
  </si>
  <si>
    <t>Basic Registry Unit</t>
  </si>
  <si>
    <t>1 día</t>
  </si>
  <si>
    <t>Data Stored</t>
  </si>
  <si>
    <t>El nivel básico incluye una cuota de almacenamiento que aquí no se descuenta.</t>
  </si>
  <si>
    <t>Key Vault</t>
  </si>
  <si>
    <t>Operations (Standard)</t>
  </si>
  <si>
    <t>Log Analytics</t>
  </si>
  <si>
    <t>Analytics Logs Data Ingestion</t>
  </si>
  <si>
    <t>1 GB</t>
  </si>
  <si>
    <t>Máquinas virtuales (cómputo de Azure ML)</t>
  </si>
  <si>
    <t>D4s v5 (Linux)</t>
  </si>
  <si>
    <t>Azure Machine Learning no cobra por el servicio, solo por el cómputo. Prioridad baja: 0,0384.</t>
  </si>
  <si>
    <t>Azure AI Search (opcional, no incluido)</t>
  </si>
  <si>
    <t>Basic Unit</t>
  </si>
  <si>
    <t>API Management (opcional, no incluido)</t>
  </si>
  <si>
    <t>Basic v2 Unit</t>
  </si>
  <si>
    <t>Costo mensual en Azure — caso base (USD/mes)</t>
  </si>
  <si>
    <t>Componente</t>
  </si>
  <si>
    <t>Servicio de Azure</t>
  </si>
  <si>
    <t>Cómo se calcula</t>
  </si>
  <si>
    <t>Fijo</t>
  </si>
  <si>
    <t>Variable por línea</t>
  </si>
  <si>
    <t>Total caso base</t>
  </si>
  <si>
    <t>Asistente (siempre encendido)</t>
  </si>
  <si>
    <t>Container Apps</t>
  </si>
  <si>
    <t>Una réplica mínima todo el mes en reposo (vCPU en reposo + memoria). Variable: CPU activa y peticiones de cada turno de conversación.</t>
  </si>
  <si>
    <t>Modelo de lenguaje del asistente</t>
  </si>
  <si>
    <t>Azure OpenAI (gpt-4.1-mini)</t>
  </si>
  <si>
    <t>Peticiones × (entrada no cacheada + entrada cacheada + salida). Precios por 1.000 tokens.</t>
  </si>
  <si>
    <t>Visión en nube (inspecciones y staging)</t>
  </si>
  <si>
    <t>Container Apps, escala a cero</t>
  </si>
  <si>
    <t>Solo se paga mientras atiende: inspecciones × segundos × (vCPU + memoria). La inferencia de la línea corre en el borde.</t>
  </si>
  <si>
    <t>Estado de planta, auditoría y aprobaciones</t>
  </si>
  <si>
    <t>PostgreSQL servidor flexible B1ms</t>
  </si>
  <si>
    <t>Cómputo todo el mes + almacenamiento aprovisionado.</t>
  </si>
  <si>
    <t>Imágenes (excepciones, muestra y reentrenamiento)</t>
  </si>
  <si>
    <t>Blob Storage Hot LRS</t>
  </si>
  <si>
    <t>Imágenes guardadas = objetos × (no ACT + muestra de ACT). GB retenidos × precio + operaciones de escritura.</t>
  </si>
  <si>
    <t>Telemetría y despliegue al borde</t>
  </si>
  <si>
    <t>IoT Hub S1 + IoT Edge</t>
  </si>
  <si>
    <t>Unidades × precio. El runtime de IoT Edge no tiene costo. Una unidad cubre holgadamente decenas de líneas.</t>
  </si>
  <si>
    <t>Registro de imágenes de contenedor</t>
  </si>
  <si>
    <t>Container Registry Basic</t>
  </si>
  <si>
    <t>Unidad diaria × 365/12 + GB almacenados.</t>
  </si>
  <si>
    <t>Secretos</t>
  </si>
  <si>
    <t>Key Vault Standard</t>
  </si>
  <si>
    <t>Operaciones / 10.000 × precio.</t>
  </si>
  <si>
    <t>Registros y monitoreo</t>
  </si>
  <si>
    <t>Log Analytics + Application Insights</t>
  </si>
  <si>
    <t>GB ingeridos por encima de la franquicia × precio. La parte por línea se cobra completa (la franquicia se consume con la parte fija).</t>
  </si>
  <si>
    <t>Entrenamiento y registro de modelos</t>
  </si>
  <si>
    <t>Azure Machine Learning (cómputo D4s v5)</t>
  </si>
  <si>
    <t>Horas de cómputo × precio. El clúster escala a cero entre trabajos.</t>
  </si>
  <si>
    <t>Total Azure</t>
  </si>
  <si>
    <t>Suma de los componentes. Precio de lista, sin impuestos ni descuentos.</t>
  </si>
  <si>
    <t>Equipo en planta (no es Azure)</t>
  </si>
  <si>
    <t>Qué es</t>
  </si>
  <si>
    <t>PC industrial, cámara e iluminación</t>
  </si>
  <si>
    <t>Equipo propio en cada estación</t>
  </si>
  <si>
    <t>(PC + cámara) / meses de amortización + mantenimiento anual / 12.</t>
  </si>
  <si>
    <t>Opcionales no incluidos (para el análisis de trade-offs)</t>
  </si>
  <si>
    <t>Búsqueda de procedimientos gestionada</t>
  </si>
  <si>
    <t>Azure AI Search Basic</t>
  </si>
  <si>
    <t>Unidad × horas del mes. No se incluye: con 6 procedimientos, la búsqueda léxica en proceso basta.</t>
  </si>
  <si>
    <t>Pasarela de API con cuotas por usuario</t>
  </si>
  <si>
    <t>API Management Basic v2</t>
  </si>
  <si>
    <t>Unidad × horas del mes. No se incluye a esta escala; se justifica con varias plantas.</t>
  </si>
  <si>
    <t>No modelado: red privada (private endpoints, VPN o ExpressRoute), Microsoft Entra ID (se asume inquilino existente), copias de seguridad adicionales, soporte de Azure, impuestos y tráfico de salida.</t>
  </si>
  <si>
    <t>Caso de negocio — operación actual frente a la automatizada (USD/mes, caso base)</t>
  </si>
  <si>
    <t>Concepto</t>
  </si>
  <si>
    <t>OPERACIÓN ACTUAL</t>
  </si>
  <si>
    <t>Operarios de identificación y alineación</t>
  </si>
  <si>
    <t>Líneas × turnos × operarios por turno × costo mensual.</t>
  </si>
  <si>
    <t>OPERACIÓN AUTOMATIZADA</t>
  </si>
  <si>
    <t>Azure</t>
  </si>
  <si>
    <t>Hoja «Costo mensual».</t>
  </si>
  <si>
    <t>Equipo en planta (amortización y mantenimiento)</t>
  </si>
  <si>
    <t>Personal para excepciones (revisión y segundas capturas)</t>
  </si>
  <si>
    <t>Líneas × turnos × fracción de jornada × costo mensual.</t>
  </si>
  <si>
    <t>Ingeniería de ML y soporte</t>
  </si>
  <si>
    <t>Dedicación × costo mensual.</t>
  </si>
  <si>
    <t>Total operación automatizada</t>
  </si>
  <si>
    <t>Suma de los cuatro conceptos.</t>
  </si>
  <si>
    <t>Ahorro mensual</t>
  </si>
  <si>
    <t>Actual − automatizada. Negativo significa que automatizar cuesta más.</t>
  </si>
  <si>
    <t>Ahorro mensual (%)</t>
  </si>
  <si>
    <t>Sobre el costo actual.</t>
  </si>
  <si>
    <t>Inversión única del proyecto</t>
  </si>
  <si>
    <t>Hoja «Supuestos».</t>
  </si>
  <si>
    <t>Meses para recuperar la inversión</t>
  </si>
  <si>
    <t>Inversión / ahorro mensual.</t>
  </si>
  <si>
    <t>Objetos procesados por mes</t>
  </si>
  <si>
    <t>Objetos por línea × líneas.</t>
  </si>
  <si>
    <t>Costo de Azure por cada 1.000 objetos</t>
  </si>
  <si>
    <t>Indicador unitario de FinOps.</t>
  </si>
  <si>
    <t>Costo total automatizado por cada 1.000 objetos</t>
  </si>
  <si>
    <t>Incluye personas y equipo.</t>
  </si>
  <si>
    <t>Costo actual por cada 1.000 objetos</t>
  </si>
  <si>
    <t>Referencia.</t>
  </si>
  <si>
    <t>Peso de Azure en el costo automatizado</t>
  </si>
  <si>
    <t>Cuánto del costo recurrente es nube.</t>
  </si>
  <si>
    <t>El resultado depende sobre todo de tres supuestos sin verificar (amarillos en «Supuestos»): el costo del operario, el personal que queda para excepciones y la inversión del proyecto. Sustituirlos antes de usar la cifra.</t>
  </si>
  <si>
    <t>Escenarios — cómo escala el costo con el número de líneas (USD/mes)</t>
  </si>
  <si>
    <t>Líneas</t>
  </si>
  <si>
    <t>Azure por línea</t>
  </si>
  <si>
    <t>Equipo en planta</t>
  </si>
  <si>
    <t>Personas (excepciones + ingeniería)</t>
  </si>
  <si>
    <t>Total automatizado</t>
  </si>
  <si>
    <t>Operación actual</t>
  </si>
  <si>
    <t>Meses para recuperar</t>
  </si>
  <si>
    <t>Se mantienen constantes la inversión del proyecto y la dedicación de ingeniería: es una simplificación. Con más líneas, ambas crecerían, aunque menos que proporcionalmente.</t>
  </si>
  <si>
    <t>Sensibilidad del modelo de lenguaje (caso base de líneas)</t>
  </si>
  <si>
    <t>Opción</t>
  </si>
  <si>
    <t>Qué cambia</t>
  </si>
  <si>
    <t>gpt-4.1-mini, despliegue global (base)</t>
  </si>
  <si>
    <t>El del modelo de costos, sin caché.</t>
  </si>
  <si>
    <t>gpt-4.1-mini, zona de datos</t>
  </si>
  <si>
    <t>Los datos no salen de la zona geográfica: +10 %.</t>
  </si>
  <si>
    <t>gpt-4.1-mini con el 50 % de la entrada en caché</t>
  </si>
  <si>
    <t>Instrucciones y contratos de tools repetidos en cada llamada.</t>
  </si>
  <si>
    <t>gpt-4.1-nano, despliegue global</t>
  </si>
  <si>
    <t>Cuatro veces más barato; exige repetir la evaluación del agente.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</si>
</sst>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&quot;-&quot;"/>
    <numFmt numFmtId="165" formatCode="0.0%;\(0.0%\);&quot;-&quot;"/>
    <numFmt numFmtId="166" formatCode="\$#,##0;\(\$#,##0\);&quot;-&quot;"/>
    <numFmt numFmtId="167" formatCode="0.0"/>
    <numFmt numFmtId="168" formatCode="\$#,##0.000000"/>
    <numFmt numFmtId="169" formatCode="\$#,##0.00;\(\$#,##0.00\);&quot;-&quot;"/>
  </numFmts>
  <fonts count="7" x14ac:knownFonts="1">
    <font>
      <sz val="11"/>
      <color theme="1"/>
      <name val="Calibri"/>
      <family val="2"/>
      <scheme val="minor"/>
    </font>
    <font>
      <b/>
      <sz val="14"/>
      <color rgb="FF00495A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495A"/>
      </patternFill>
    </fill>
    <fill>
      <patternFill patternType="solid">
        <fgColor rgb="FFFFFF00"/>
      </patternFill>
    </fill>
    <fill>
      <patternFill patternType="solid">
        <fgColor rgb="FFEEF3F2"/>
      </patternFill>
    </fill>
  </fills>
  <borders count="2">
    <border>
      <left/>
      <right/>
      <top/>
      <bottom/>
      <diagonal/>
    </border>
    <border>
      <left style="thin">
        <color rgb="FFC9D3D1"/>
      </left>
      <right style="thin">
        <color rgb="FFC9D3D1"/>
      </right>
      <top style="thin">
        <color rgb="FFC9D3D1"/>
      </top>
      <bottom style="thin">
        <color rgb="FFC9D3D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66" fontId="4" fillId="3" borderId="1" xfId="0" applyNumberFormat="1" applyFont="1" applyFill="1" applyBorder="1" applyAlignment="1">
      <alignment vertical="top" wrapText="1"/>
    </xf>
    <xf numFmtId="2" fontId="4" fillId="3" borderId="1" xfId="0" applyNumberFormat="1" applyFont="1" applyFill="1" applyBorder="1" applyAlignment="1">
      <alignment vertical="top" wrapText="1"/>
    </xf>
    <xf numFmtId="165" fontId="4" fillId="3" borderId="1" xfId="0" applyNumberFormat="1" applyFont="1" applyFill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167" fontId="4" fillId="3" borderId="1" xfId="0" applyNumberFormat="1" applyFont="1" applyFill="1" applyBorder="1" applyAlignment="1">
      <alignment vertical="top" wrapText="1"/>
    </xf>
    <xf numFmtId="168" fontId="4" fillId="0" borderId="1" xfId="0" applyNumberFormat="1" applyFont="1" applyBorder="1" applyAlignment="1">
      <alignment vertical="top" wrapText="1"/>
    </xf>
    <xf numFmtId="168" fontId="4" fillId="3" borderId="1" xfId="0" applyNumberFormat="1" applyFont="1" applyFill="1" applyBorder="1" applyAlignment="1">
      <alignment vertical="top" wrapText="1"/>
    </xf>
    <xf numFmtId="169" fontId="3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9" fontId="5" fillId="4" borderId="1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66" fontId="3" fillId="0" borderId="1" xfId="0" applyNumberFormat="1" applyFont="1" applyBorder="1" applyAlignment="1">
      <alignment vertical="top" wrapText="1"/>
    </xf>
    <xf numFmtId="166" fontId="6" fillId="0" borderId="1" xfId="0" applyNumberFormat="1" applyFont="1" applyBorder="1" applyAlignment="1">
      <alignment vertical="top" wrapText="1"/>
    </xf>
    <xf numFmtId="166" fontId="5" fillId="4" borderId="1" xfId="0" applyNumberFormat="1" applyFont="1" applyFill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167" fontId="3" fillId="0" borderId="1" xfId="0" applyNumberFormat="1" applyFont="1" applyBorder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showGridLines="0" tabSelected="1" workbookViewId="0"/>
  </sheetViews>
  <sheetFormatPr baseColWidth="10" defaultColWidth="9.140625" defaultRowHeight="15" x14ac:dyDescent="0.25"/>
  <cols>
    <col min="1" max="1" width="15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52" customWidth="1"/>
    <col min="3" max="3" width="14" customWidth="1"/>
    <col min="4" max="4" width="16" customWidth="1"/>
    <col min="5" max="5" width="78" customWidth="1"/>
  </cols>
  <sheetData>
    <row r="1" spans="1:5" ht="18" x14ac:dyDescent="0.25">
      <c r="A1" s="1" t="s">
        <v>8</v>
      </c>
    </row>
    <row r="3" spans="1:5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x14ac:dyDescent="0.25">
      <c r="A4" s="4" t="s">
        <v>14</v>
      </c>
      <c r="B4" s="4" t="s">
        <v>15</v>
      </c>
      <c r="C4" s="5">
        <v>2</v>
      </c>
      <c r="D4" s="4" t="s">
        <v>16</v>
      </c>
      <c r="E4" s="4" t="s">
        <v>17</v>
      </c>
    </row>
    <row r="5" spans="1:5" ht="25.5" x14ac:dyDescent="0.25">
      <c r="A5" s="4" t="s">
        <v>14</v>
      </c>
      <c r="B5" s="4" t="s">
        <v>18</v>
      </c>
      <c r="C5" s="5">
        <v>30</v>
      </c>
      <c r="D5" s="4" t="s">
        <v>19</v>
      </c>
      <c r="E5" s="4" t="s">
        <v>20</v>
      </c>
    </row>
    <row r="6" spans="1:5" x14ac:dyDescent="0.25">
      <c r="A6" s="4" t="s">
        <v>14</v>
      </c>
      <c r="B6" s="4" t="s">
        <v>21</v>
      </c>
      <c r="C6" s="6">
        <v>24</v>
      </c>
      <c r="D6" s="4" t="s">
        <v>22</v>
      </c>
      <c r="E6" s="4" t="s">
        <v>23</v>
      </c>
    </row>
    <row r="7" spans="1:5" x14ac:dyDescent="0.25">
      <c r="A7" s="4" t="s">
        <v>14</v>
      </c>
      <c r="B7" s="4" t="s">
        <v>24</v>
      </c>
      <c r="C7" s="6">
        <v>5</v>
      </c>
      <c r="D7" s="4" t="s">
        <v>25</v>
      </c>
      <c r="E7" s="4" t="s">
        <v>26</v>
      </c>
    </row>
    <row r="8" spans="1:5" x14ac:dyDescent="0.25">
      <c r="A8" s="4" t="s">
        <v>14</v>
      </c>
      <c r="B8" s="4" t="s">
        <v>27</v>
      </c>
      <c r="C8" s="6">
        <v>52</v>
      </c>
      <c r="D8" s="4" t="s">
        <v>28</v>
      </c>
      <c r="E8" s="4" t="s">
        <v>29</v>
      </c>
    </row>
    <row r="9" spans="1:5" x14ac:dyDescent="0.25">
      <c r="A9" s="4" t="s">
        <v>14</v>
      </c>
      <c r="B9" s="4" t="s">
        <v>30</v>
      </c>
      <c r="C9" s="6">
        <v>3</v>
      </c>
      <c r="D9" s="4" t="s">
        <v>31</v>
      </c>
      <c r="E9" s="4" t="s">
        <v>32</v>
      </c>
    </row>
    <row r="10" spans="1:5" x14ac:dyDescent="0.25">
      <c r="A10" s="4" t="s">
        <v>14</v>
      </c>
      <c r="B10" s="4" t="s">
        <v>33</v>
      </c>
      <c r="C10" s="6">
        <v>1</v>
      </c>
      <c r="D10" s="4" t="s">
        <v>34</v>
      </c>
      <c r="E10" s="4" t="s">
        <v>35</v>
      </c>
    </row>
    <row r="11" spans="1:5" x14ac:dyDescent="0.25">
      <c r="A11" s="4" t="s">
        <v>14</v>
      </c>
      <c r="B11" s="4" t="s">
        <v>36</v>
      </c>
      <c r="C11" s="7">
        <f>Supuestos!$C$7*Supuestos!$C$8/12</f>
        <v>21.666666666666668</v>
      </c>
      <c r="D11" s="4" t="s">
        <v>25</v>
      </c>
      <c r="E11" s="4" t="s">
        <v>37</v>
      </c>
    </row>
    <row r="12" spans="1:5" x14ac:dyDescent="0.25">
      <c r="A12" s="4" t="s">
        <v>14</v>
      </c>
      <c r="B12" s="4" t="s">
        <v>38</v>
      </c>
      <c r="C12" s="8">
        <f>3600/Supuestos!$C$5*Supuestos!$C$6*Supuestos!$C$11</f>
        <v>62400</v>
      </c>
      <c r="D12" s="4" t="s">
        <v>39</v>
      </c>
      <c r="E12" s="4" t="s">
        <v>37</v>
      </c>
    </row>
    <row r="13" spans="1:5" ht="25.5" x14ac:dyDescent="0.25">
      <c r="A13" s="4" t="s">
        <v>40</v>
      </c>
      <c r="B13" s="4" t="s">
        <v>41</v>
      </c>
      <c r="C13" s="9">
        <v>0.876</v>
      </c>
      <c r="D13" s="4" t="s">
        <v>42</v>
      </c>
      <c r="E13" s="4" t="s">
        <v>43</v>
      </c>
    </row>
    <row r="14" spans="1:5" x14ac:dyDescent="0.25">
      <c r="A14" s="4" t="s">
        <v>44</v>
      </c>
      <c r="B14" s="4" t="s">
        <v>45</v>
      </c>
      <c r="C14" s="10">
        <v>600</v>
      </c>
      <c r="D14" s="4" t="s">
        <v>46</v>
      </c>
      <c r="E14" s="4" t="s">
        <v>47</v>
      </c>
    </row>
    <row r="15" spans="1:5" ht="25.5" x14ac:dyDescent="0.25">
      <c r="A15" s="4" t="s">
        <v>44</v>
      </c>
      <c r="B15" s="4" t="s">
        <v>48</v>
      </c>
      <c r="C15" s="11">
        <v>0.25</v>
      </c>
      <c r="D15" s="4" t="s">
        <v>49</v>
      </c>
      <c r="E15" s="4" t="s">
        <v>50</v>
      </c>
    </row>
    <row r="16" spans="1:5" x14ac:dyDescent="0.25">
      <c r="A16" s="4" t="s">
        <v>44</v>
      </c>
      <c r="B16" s="4" t="s">
        <v>51</v>
      </c>
      <c r="C16" s="11">
        <v>0.2</v>
      </c>
      <c r="D16" s="4" t="s">
        <v>49</v>
      </c>
      <c r="E16" s="4" t="s">
        <v>52</v>
      </c>
    </row>
    <row r="17" spans="1:5" x14ac:dyDescent="0.25">
      <c r="A17" s="4" t="s">
        <v>44</v>
      </c>
      <c r="B17" s="4" t="s">
        <v>53</v>
      </c>
      <c r="C17" s="10">
        <v>2500</v>
      </c>
      <c r="D17" s="4" t="s">
        <v>46</v>
      </c>
      <c r="E17" s="4" t="s">
        <v>54</v>
      </c>
    </row>
    <row r="18" spans="1:5" ht="25.5" x14ac:dyDescent="0.25">
      <c r="A18" s="4" t="s">
        <v>55</v>
      </c>
      <c r="B18" s="4" t="s">
        <v>56</v>
      </c>
      <c r="C18" s="10">
        <v>40000</v>
      </c>
      <c r="D18" s="4" t="s">
        <v>57</v>
      </c>
      <c r="E18" s="4" t="s">
        <v>58</v>
      </c>
    </row>
    <row r="19" spans="1:5" ht="25.5" x14ac:dyDescent="0.25">
      <c r="A19" s="4" t="s">
        <v>59</v>
      </c>
      <c r="B19" s="4" t="s">
        <v>60</v>
      </c>
      <c r="C19" s="10">
        <v>1800</v>
      </c>
      <c r="D19" s="4" t="s">
        <v>57</v>
      </c>
      <c r="E19" s="4" t="s">
        <v>61</v>
      </c>
    </row>
    <row r="20" spans="1:5" x14ac:dyDescent="0.25">
      <c r="A20" s="4" t="s">
        <v>59</v>
      </c>
      <c r="B20" s="4" t="s">
        <v>62</v>
      </c>
      <c r="C20" s="10">
        <v>1200</v>
      </c>
      <c r="D20" s="4" t="s">
        <v>57</v>
      </c>
      <c r="E20" s="4" t="s">
        <v>54</v>
      </c>
    </row>
    <row r="21" spans="1:5" x14ac:dyDescent="0.25">
      <c r="A21" s="4" t="s">
        <v>59</v>
      </c>
      <c r="B21" s="4" t="s">
        <v>63</v>
      </c>
      <c r="C21" s="6">
        <v>36</v>
      </c>
      <c r="D21" s="4" t="s">
        <v>64</v>
      </c>
      <c r="E21" s="4" t="s">
        <v>65</v>
      </c>
    </row>
    <row r="22" spans="1:5" x14ac:dyDescent="0.25">
      <c r="A22" s="4" t="s">
        <v>59</v>
      </c>
      <c r="B22" s="4" t="s">
        <v>66</v>
      </c>
      <c r="C22" s="12">
        <v>0.1</v>
      </c>
      <c r="D22" s="4" t="s">
        <v>67</v>
      </c>
      <c r="E22" s="4" t="s">
        <v>68</v>
      </c>
    </row>
    <row r="23" spans="1:5" x14ac:dyDescent="0.25">
      <c r="A23" s="4" t="s">
        <v>69</v>
      </c>
      <c r="B23" s="4" t="s">
        <v>70</v>
      </c>
      <c r="C23" s="5">
        <v>6</v>
      </c>
      <c r="D23" s="4" t="s">
        <v>71</v>
      </c>
      <c r="E23" s="4" t="s">
        <v>72</v>
      </c>
    </row>
    <row r="24" spans="1:5" x14ac:dyDescent="0.25">
      <c r="A24" s="4" t="s">
        <v>69</v>
      </c>
      <c r="B24" s="4" t="s">
        <v>73</v>
      </c>
      <c r="C24" s="5">
        <v>8</v>
      </c>
      <c r="D24" s="4" t="s">
        <v>74</v>
      </c>
      <c r="E24" s="4" t="s">
        <v>68</v>
      </c>
    </row>
    <row r="25" spans="1:5" x14ac:dyDescent="0.25">
      <c r="A25" s="4" t="s">
        <v>69</v>
      </c>
      <c r="B25" s="4" t="s">
        <v>75</v>
      </c>
      <c r="C25" s="6">
        <v>6783</v>
      </c>
      <c r="D25" s="4" t="s">
        <v>76</v>
      </c>
      <c r="E25" s="4" t="s">
        <v>77</v>
      </c>
    </row>
    <row r="26" spans="1:5" x14ac:dyDescent="0.25">
      <c r="A26" s="4" t="s">
        <v>69</v>
      </c>
      <c r="B26" s="4" t="s">
        <v>78</v>
      </c>
      <c r="C26" s="6">
        <v>176</v>
      </c>
      <c r="D26" s="4" t="s">
        <v>76</v>
      </c>
      <c r="E26" s="4" t="s">
        <v>79</v>
      </c>
    </row>
    <row r="27" spans="1:5" ht="25.5" x14ac:dyDescent="0.25">
      <c r="A27" s="4" t="s">
        <v>69</v>
      </c>
      <c r="B27" s="4" t="s">
        <v>80</v>
      </c>
      <c r="C27" s="9">
        <v>0</v>
      </c>
      <c r="D27" s="4" t="s">
        <v>42</v>
      </c>
      <c r="E27" s="4" t="s">
        <v>81</v>
      </c>
    </row>
    <row r="28" spans="1:5" x14ac:dyDescent="0.25">
      <c r="A28" s="4" t="s">
        <v>69</v>
      </c>
      <c r="B28" s="4" t="s">
        <v>82</v>
      </c>
      <c r="C28" s="6">
        <v>3</v>
      </c>
      <c r="D28" s="4" t="s">
        <v>19</v>
      </c>
      <c r="E28" s="4" t="s">
        <v>83</v>
      </c>
    </row>
    <row r="29" spans="1:5" x14ac:dyDescent="0.25">
      <c r="A29" s="4" t="s">
        <v>69</v>
      </c>
      <c r="B29" s="4" t="s">
        <v>84</v>
      </c>
      <c r="C29" s="13">
        <v>0.5</v>
      </c>
      <c r="D29" s="4" t="s">
        <v>85</v>
      </c>
      <c r="E29" s="4" t="s">
        <v>86</v>
      </c>
    </row>
    <row r="30" spans="1:5" x14ac:dyDescent="0.25">
      <c r="A30" s="4" t="s">
        <v>69</v>
      </c>
      <c r="B30" s="4" t="s">
        <v>87</v>
      </c>
      <c r="C30" s="13">
        <v>1</v>
      </c>
      <c r="D30" s="4" t="s">
        <v>88</v>
      </c>
      <c r="E30" s="4" t="s">
        <v>86</v>
      </c>
    </row>
    <row r="31" spans="1:5" x14ac:dyDescent="0.25">
      <c r="A31" s="4" t="s">
        <v>89</v>
      </c>
      <c r="B31" s="4" t="s">
        <v>90</v>
      </c>
      <c r="C31" s="5">
        <v>1000</v>
      </c>
      <c r="D31" s="4" t="s">
        <v>91</v>
      </c>
      <c r="E31" s="4" t="s">
        <v>92</v>
      </c>
    </row>
    <row r="32" spans="1:5" x14ac:dyDescent="0.25">
      <c r="A32" s="4" t="s">
        <v>89</v>
      </c>
      <c r="B32" s="4" t="s">
        <v>93</v>
      </c>
      <c r="C32" s="13">
        <v>1</v>
      </c>
      <c r="D32" s="4" t="s">
        <v>85</v>
      </c>
      <c r="E32" s="4" t="s">
        <v>86</v>
      </c>
    </row>
    <row r="33" spans="1:5" x14ac:dyDescent="0.25">
      <c r="A33" s="4" t="s">
        <v>89</v>
      </c>
      <c r="B33" s="4" t="s">
        <v>94</v>
      </c>
      <c r="C33" s="13">
        <v>2</v>
      </c>
      <c r="D33" s="4" t="s">
        <v>88</v>
      </c>
      <c r="E33" s="4" t="s">
        <v>95</v>
      </c>
    </row>
    <row r="34" spans="1:5" x14ac:dyDescent="0.25">
      <c r="A34" s="4" t="s">
        <v>89</v>
      </c>
      <c r="B34" s="4" t="s">
        <v>96</v>
      </c>
      <c r="C34" s="13">
        <v>1</v>
      </c>
      <c r="D34" s="4" t="s">
        <v>19</v>
      </c>
      <c r="E34" s="4" t="s">
        <v>97</v>
      </c>
    </row>
    <row r="35" spans="1:5" x14ac:dyDescent="0.25">
      <c r="A35" s="4" t="s">
        <v>98</v>
      </c>
      <c r="B35" s="4" t="s">
        <v>99</v>
      </c>
      <c r="C35" s="5">
        <v>200</v>
      </c>
      <c r="D35" s="4" t="s">
        <v>100</v>
      </c>
      <c r="E35" s="4" t="s">
        <v>101</v>
      </c>
    </row>
    <row r="36" spans="1:5" x14ac:dyDescent="0.25">
      <c r="A36" s="4" t="s">
        <v>98</v>
      </c>
      <c r="B36" s="4" t="s">
        <v>102</v>
      </c>
      <c r="C36" s="9">
        <v>0.01</v>
      </c>
      <c r="D36" s="4" t="s">
        <v>42</v>
      </c>
      <c r="E36" s="4" t="s">
        <v>103</v>
      </c>
    </row>
    <row r="37" spans="1:5" x14ac:dyDescent="0.25">
      <c r="A37" s="4" t="s">
        <v>98</v>
      </c>
      <c r="B37" s="4" t="s">
        <v>104</v>
      </c>
      <c r="C37" s="6">
        <v>3</v>
      </c>
      <c r="D37" s="4" t="s">
        <v>64</v>
      </c>
      <c r="E37" s="4" t="s">
        <v>105</v>
      </c>
    </row>
    <row r="38" spans="1:5" x14ac:dyDescent="0.25">
      <c r="A38" s="4" t="s">
        <v>98</v>
      </c>
      <c r="B38" s="4" t="s">
        <v>106</v>
      </c>
      <c r="C38" s="6">
        <v>32</v>
      </c>
      <c r="D38" s="4" t="s">
        <v>107</v>
      </c>
      <c r="E38" s="4" t="s">
        <v>108</v>
      </c>
    </row>
    <row r="39" spans="1:5" x14ac:dyDescent="0.25">
      <c r="A39" s="4" t="s">
        <v>109</v>
      </c>
      <c r="B39" s="4" t="s">
        <v>110</v>
      </c>
      <c r="C39" s="5">
        <v>3</v>
      </c>
      <c r="D39" s="4" t="s">
        <v>107</v>
      </c>
      <c r="E39" s="4" t="s">
        <v>111</v>
      </c>
    </row>
    <row r="40" spans="1:5" x14ac:dyDescent="0.25">
      <c r="A40" s="4" t="s">
        <v>109</v>
      </c>
      <c r="B40" s="4" t="s">
        <v>112</v>
      </c>
      <c r="C40" s="14">
        <v>2.5</v>
      </c>
      <c r="D40" s="4" t="s">
        <v>107</v>
      </c>
      <c r="E40" s="4" t="s">
        <v>113</v>
      </c>
    </row>
    <row r="41" spans="1:5" x14ac:dyDescent="0.25">
      <c r="A41" s="4" t="s">
        <v>109</v>
      </c>
      <c r="B41" s="4" t="s">
        <v>114</v>
      </c>
      <c r="C41" s="6">
        <v>5</v>
      </c>
      <c r="D41" s="4" t="s">
        <v>107</v>
      </c>
      <c r="E41" s="4" t="s">
        <v>115</v>
      </c>
    </row>
    <row r="42" spans="1:5" ht="25.5" x14ac:dyDescent="0.25">
      <c r="A42" s="4" t="s">
        <v>116</v>
      </c>
      <c r="B42" s="4" t="s">
        <v>117</v>
      </c>
      <c r="C42" s="5">
        <v>10</v>
      </c>
      <c r="D42" s="4" t="s">
        <v>22</v>
      </c>
      <c r="E42" s="4" t="s">
        <v>118</v>
      </c>
    </row>
    <row r="43" spans="1:5" x14ac:dyDescent="0.25">
      <c r="A43" s="4" t="s">
        <v>116</v>
      </c>
      <c r="B43" s="4" t="s">
        <v>119</v>
      </c>
      <c r="C43" s="6">
        <v>10</v>
      </c>
      <c r="D43" s="4" t="s">
        <v>107</v>
      </c>
      <c r="E43" s="4" t="s">
        <v>120</v>
      </c>
    </row>
    <row r="44" spans="1:5" x14ac:dyDescent="0.25">
      <c r="A44" s="4" t="s">
        <v>121</v>
      </c>
      <c r="B44" s="4" t="s">
        <v>122</v>
      </c>
      <c r="C44" s="6">
        <v>100000</v>
      </c>
      <c r="D44" s="4" t="s">
        <v>123</v>
      </c>
      <c r="E44" s="4" t="s">
        <v>124</v>
      </c>
    </row>
    <row r="45" spans="1:5" ht="25.5" x14ac:dyDescent="0.25">
      <c r="A45" s="4" t="s">
        <v>125</v>
      </c>
      <c r="B45" s="4" t="s">
        <v>126</v>
      </c>
      <c r="C45" s="6">
        <v>1</v>
      </c>
      <c r="D45" s="4" t="s">
        <v>127</v>
      </c>
      <c r="E45" s="4" t="s">
        <v>128</v>
      </c>
    </row>
    <row r="46" spans="1:5" x14ac:dyDescent="0.25">
      <c r="A46" s="4" t="s">
        <v>129</v>
      </c>
      <c r="B46" s="4" t="s">
        <v>130</v>
      </c>
      <c r="C46" s="6">
        <v>730</v>
      </c>
      <c r="D46" s="4" t="s">
        <v>22</v>
      </c>
      <c r="E46" s="4" t="s">
        <v>131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30" customWidth="1"/>
    <col min="2" max="2" width="46" customWidth="1"/>
    <col min="3" max="3" width="16" customWidth="1"/>
    <col min="4" max="5" width="14" customWidth="1"/>
    <col min="6" max="6" width="64" customWidth="1"/>
  </cols>
  <sheetData>
    <row r="1" spans="1:6" ht="18" x14ac:dyDescent="0.25">
      <c r="A1" s="1" t="s">
        <v>132</v>
      </c>
    </row>
    <row r="2" spans="1:6" x14ac:dyDescent="0.25">
      <c r="A2" s="2" t="s">
        <v>133</v>
      </c>
    </row>
    <row r="4" spans="1:6" ht="25.5" x14ac:dyDescent="0.25">
      <c r="A4" s="3" t="s">
        <v>134</v>
      </c>
      <c r="B4" s="3" t="s">
        <v>135</v>
      </c>
      <c r="C4" s="3" t="s">
        <v>12</v>
      </c>
      <c r="D4" s="3" t="s">
        <v>136</v>
      </c>
      <c r="E4" s="3" t="s">
        <v>137</v>
      </c>
      <c r="F4" s="3" t="s">
        <v>138</v>
      </c>
    </row>
    <row r="5" spans="1:6" x14ac:dyDescent="0.25">
      <c r="A5" s="4" t="s">
        <v>139</v>
      </c>
      <c r="B5" s="4" t="s">
        <v>140</v>
      </c>
      <c r="C5" s="4" t="s">
        <v>141</v>
      </c>
      <c r="D5" s="15">
        <v>2.4000000000000001E-5</v>
      </c>
      <c r="E5" s="4" t="s">
        <v>142</v>
      </c>
      <c r="F5" s="4"/>
    </row>
    <row r="6" spans="1:6" x14ac:dyDescent="0.25">
      <c r="A6" s="4" t="s">
        <v>139</v>
      </c>
      <c r="B6" s="4" t="s">
        <v>143</v>
      </c>
      <c r="C6" s="4" t="s">
        <v>141</v>
      </c>
      <c r="D6" s="15">
        <v>3.0000000000000001E-6</v>
      </c>
      <c r="E6" s="4" t="s">
        <v>142</v>
      </c>
      <c r="F6" s="4"/>
    </row>
    <row r="7" spans="1:6" x14ac:dyDescent="0.25">
      <c r="A7" s="4" t="s">
        <v>139</v>
      </c>
      <c r="B7" s="4" t="s">
        <v>144</v>
      </c>
      <c r="C7" s="4" t="s">
        <v>145</v>
      </c>
      <c r="D7" s="15">
        <v>3.0000000000000001E-6</v>
      </c>
      <c r="E7" s="4" t="s">
        <v>142</v>
      </c>
      <c r="F7" s="4"/>
    </row>
    <row r="8" spans="1:6" ht="25.5" x14ac:dyDescent="0.25">
      <c r="A8" s="4" t="s">
        <v>139</v>
      </c>
      <c r="B8" s="4" t="s">
        <v>146</v>
      </c>
      <c r="C8" s="4" t="s">
        <v>147</v>
      </c>
      <c r="D8" s="15">
        <v>0.4</v>
      </c>
      <c r="E8" s="4" t="s">
        <v>142</v>
      </c>
      <c r="F8" s="4" t="s">
        <v>148</v>
      </c>
    </row>
    <row r="9" spans="1:6" x14ac:dyDescent="0.25">
      <c r="A9" s="4" t="s">
        <v>149</v>
      </c>
      <c r="B9" s="4" t="s">
        <v>150</v>
      </c>
      <c r="C9" s="4" t="s">
        <v>151</v>
      </c>
      <c r="D9" s="15">
        <v>4.0000000000000002E-4</v>
      </c>
      <c r="E9" s="4" t="s">
        <v>142</v>
      </c>
      <c r="F9" s="4" t="s">
        <v>152</v>
      </c>
    </row>
    <row r="10" spans="1:6" x14ac:dyDescent="0.25">
      <c r="A10" s="4" t="s">
        <v>149</v>
      </c>
      <c r="B10" s="4" t="s">
        <v>153</v>
      </c>
      <c r="C10" s="4" t="s">
        <v>151</v>
      </c>
      <c r="D10" s="15">
        <v>1E-4</v>
      </c>
      <c r="E10" s="4" t="s">
        <v>142</v>
      </c>
      <c r="F10" s="4"/>
    </row>
    <row r="11" spans="1:6" x14ac:dyDescent="0.25">
      <c r="A11" s="4" t="s">
        <v>149</v>
      </c>
      <c r="B11" s="4" t="s">
        <v>154</v>
      </c>
      <c r="C11" s="4" t="s">
        <v>151</v>
      </c>
      <c r="D11" s="15">
        <v>1.6000000000000001E-3</v>
      </c>
      <c r="E11" s="4" t="s">
        <v>142</v>
      </c>
      <c r="F11" s="4" t="s">
        <v>155</v>
      </c>
    </row>
    <row r="12" spans="1:6" x14ac:dyDescent="0.25">
      <c r="A12" s="4" t="s">
        <v>149</v>
      </c>
      <c r="B12" s="4" t="s">
        <v>156</v>
      </c>
      <c r="C12" s="4" t="s">
        <v>151</v>
      </c>
      <c r="D12" s="15">
        <v>4.4000000000000002E-4</v>
      </c>
      <c r="E12" s="4" t="s">
        <v>142</v>
      </c>
      <c r="F12" s="4" t="s">
        <v>157</v>
      </c>
    </row>
    <row r="13" spans="1:6" x14ac:dyDescent="0.25">
      <c r="A13" s="4" t="s">
        <v>149</v>
      </c>
      <c r="B13" s="4" t="s">
        <v>158</v>
      </c>
      <c r="C13" s="4" t="s">
        <v>151</v>
      </c>
      <c r="D13" s="15">
        <v>1.7600000000000001E-3</v>
      </c>
      <c r="E13" s="4" t="s">
        <v>142</v>
      </c>
      <c r="F13" s="4"/>
    </row>
    <row r="14" spans="1:6" ht="25.5" x14ac:dyDescent="0.25">
      <c r="A14" s="4" t="s">
        <v>149</v>
      </c>
      <c r="B14" s="4" t="s">
        <v>159</v>
      </c>
      <c r="C14" s="4" t="s">
        <v>151</v>
      </c>
      <c r="D14" s="15">
        <v>1E-4</v>
      </c>
      <c r="E14" s="4" t="s">
        <v>142</v>
      </c>
      <c r="F14" s="4" t="s">
        <v>160</v>
      </c>
    </row>
    <row r="15" spans="1:6" x14ac:dyDescent="0.25">
      <c r="A15" s="4" t="s">
        <v>149</v>
      </c>
      <c r="B15" s="4" t="s">
        <v>161</v>
      </c>
      <c r="C15" s="4" t="s">
        <v>151</v>
      </c>
      <c r="D15" s="15">
        <v>4.0000000000000002E-4</v>
      </c>
      <c r="E15" s="4" t="s">
        <v>142</v>
      </c>
      <c r="F15" s="4"/>
    </row>
    <row r="16" spans="1:6" ht="25.5" x14ac:dyDescent="0.25">
      <c r="A16" s="4" t="s">
        <v>162</v>
      </c>
      <c r="B16" s="4" t="s">
        <v>163</v>
      </c>
      <c r="C16" s="4" t="s">
        <v>164</v>
      </c>
      <c r="D16" s="15">
        <v>1.7000000000000001E-2</v>
      </c>
      <c r="E16" s="4" t="s">
        <v>142</v>
      </c>
      <c r="F16" s="4" t="s">
        <v>165</v>
      </c>
    </row>
    <row r="17" spans="1:6" ht="25.5" x14ac:dyDescent="0.25">
      <c r="A17" s="4" t="s">
        <v>162</v>
      </c>
      <c r="B17" s="4" t="s">
        <v>166</v>
      </c>
      <c r="C17" s="4" t="s">
        <v>167</v>
      </c>
      <c r="D17" s="16">
        <v>0.115</v>
      </c>
      <c r="E17" s="4" t="s">
        <v>168</v>
      </c>
      <c r="F17" s="4" t="s">
        <v>169</v>
      </c>
    </row>
    <row r="18" spans="1:6" x14ac:dyDescent="0.25">
      <c r="A18" s="4" t="s">
        <v>170</v>
      </c>
      <c r="B18" s="4" t="s">
        <v>171</v>
      </c>
      <c r="C18" s="4" t="s">
        <v>167</v>
      </c>
      <c r="D18" s="15">
        <v>1.84E-2</v>
      </c>
      <c r="E18" s="4" t="s">
        <v>142</v>
      </c>
      <c r="F18" s="4"/>
    </row>
    <row r="19" spans="1:6" ht="25.5" x14ac:dyDescent="0.25">
      <c r="A19" s="4" t="s">
        <v>170</v>
      </c>
      <c r="B19" s="4" t="s">
        <v>172</v>
      </c>
      <c r="C19" s="4" t="s">
        <v>173</v>
      </c>
      <c r="D19" s="15">
        <v>0.05</v>
      </c>
      <c r="E19" s="4" t="s">
        <v>142</v>
      </c>
      <c r="F19" s="4"/>
    </row>
    <row r="20" spans="1:6" ht="25.5" x14ac:dyDescent="0.25">
      <c r="A20" s="4" t="s">
        <v>174</v>
      </c>
      <c r="B20" s="4" t="s">
        <v>175</v>
      </c>
      <c r="C20" s="4" t="s">
        <v>176</v>
      </c>
      <c r="D20" s="15">
        <v>25</v>
      </c>
      <c r="E20" s="4" t="s">
        <v>142</v>
      </c>
      <c r="F20" s="4" t="s">
        <v>177</v>
      </c>
    </row>
    <row r="21" spans="1:6" x14ac:dyDescent="0.25">
      <c r="A21" s="4" t="s">
        <v>178</v>
      </c>
      <c r="B21" s="4" t="s">
        <v>179</v>
      </c>
      <c r="C21" s="4" t="s">
        <v>180</v>
      </c>
      <c r="D21" s="15">
        <v>0.1666</v>
      </c>
      <c r="E21" s="4" t="s">
        <v>142</v>
      </c>
      <c r="F21" s="4"/>
    </row>
    <row r="22" spans="1:6" ht="25.5" x14ac:dyDescent="0.25">
      <c r="A22" s="4" t="s">
        <v>178</v>
      </c>
      <c r="B22" s="4" t="s">
        <v>181</v>
      </c>
      <c r="C22" s="4" t="s">
        <v>167</v>
      </c>
      <c r="D22" s="15">
        <v>0.1</v>
      </c>
      <c r="E22" s="4" t="s">
        <v>142</v>
      </c>
      <c r="F22" s="4" t="s">
        <v>182</v>
      </c>
    </row>
    <row r="23" spans="1:6" ht="25.5" x14ac:dyDescent="0.25">
      <c r="A23" s="4" t="s">
        <v>183</v>
      </c>
      <c r="B23" s="4" t="s">
        <v>184</v>
      </c>
      <c r="C23" s="4" t="s">
        <v>173</v>
      </c>
      <c r="D23" s="15">
        <v>0.03</v>
      </c>
      <c r="E23" s="4" t="s">
        <v>142</v>
      </c>
      <c r="F23" s="4"/>
    </row>
    <row r="24" spans="1:6" x14ac:dyDescent="0.25">
      <c r="A24" s="4" t="s">
        <v>185</v>
      </c>
      <c r="B24" s="4" t="s">
        <v>186</v>
      </c>
      <c r="C24" s="4" t="s">
        <v>187</v>
      </c>
      <c r="D24" s="15">
        <v>2.76</v>
      </c>
      <c r="E24" s="4" t="s">
        <v>142</v>
      </c>
      <c r="F24" s="4"/>
    </row>
    <row r="25" spans="1:6" ht="25.5" x14ac:dyDescent="0.25">
      <c r="A25" s="4" t="s">
        <v>188</v>
      </c>
      <c r="B25" s="4" t="s">
        <v>189</v>
      </c>
      <c r="C25" s="4" t="s">
        <v>164</v>
      </c>
      <c r="D25" s="15">
        <v>0.192</v>
      </c>
      <c r="E25" s="4" t="s">
        <v>142</v>
      </c>
      <c r="F25" s="4" t="s">
        <v>190</v>
      </c>
    </row>
    <row r="26" spans="1:6" ht="25.5" x14ac:dyDescent="0.25">
      <c r="A26" s="4" t="s">
        <v>191</v>
      </c>
      <c r="B26" s="4" t="s">
        <v>192</v>
      </c>
      <c r="C26" s="4" t="s">
        <v>164</v>
      </c>
      <c r="D26" s="15">
        <v>0.10100000000000001</v>
      </c>
      <c r="E26" s="4" t="s">
        <v>142</v>
      </c>
      <c r="F26" s="4"/>
    </row>
    <row r="27" spans="1:6" ht="25.5" x14ac:dyDescent="0.25">
      <c r="A27" s="4" t="s">
        <v>193</v>
      </c>
      <c r="B27" s="4" t="s">
        <v>194</v>
      </c>
      <c r="C27" s="4" t="s">
        <v>164</v>
      </c>
      <c r="D27" s="15">
        <v>0.20548</v>
      </c>
      <c r="E27" s="4" t="s">
        <v>142</v>
      </c>
      <c r="F27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2" width="30" customWidth="1"/>
    <col min="3" max="3" width="70" customWidth="1"/>
    <col min="4" max="4" width="14" customWidth="1"/>
    <col min="5" max="6" width="16" customWidth="1"/>
  </cols>
  <sheetData>
    <row r="1" spans="1:6" ht="18" x14ac:dyDescent="0.25">
      <c r="A1" s="1" t="s">
        <v>195</v>
      </c>
    </row>
    <row r="3" spans="1:6" ht="25.5" x14ac:dyDescent="0.25">
      <c r="A3" s="3" t="s">
        <v>196</v>
      </c>
      <c r="B3" s="3" t="s">
        <v>197</v>
      </c>
      <c r="C3" s="3" t="s">
        <v>198</v>
      </c>
      <c r="D3" s="3" t="s">
        <v>199</v>
      </c>
      <c r="E3" s="3" t="s">
        <v>200</v>
      </c>
      <c r="F3" s="3" t="s">
        <v>201</v>
      </c>
    </row>
    <row r="4" spans="1:6" ht="25.5" x14ac:dyDescent="0.25">
      <c r="A4" s="4" t="s">
        <v>202</v>
      </c>
      <c r="B4" s="4" t="s">
        <v>203</v>
      </c>
      <c r="C4" s="4" t="s">
        <v>204</v>
      </c>
      <c r="D4" s="17">
        <f>Supuestos!$C$29*Supuestos!$C$46*3600*Precios!$D$6+Supuestos!$C$30*Supuestos!$C$46*3600*Precios!$D$7</f>
        <v>11.826000000000001</v>
      </c>
      <c r="E4" s="17">
        <f>Supuestos!$C$23*Supuestos!$C$24*Supuestos!$C$11*Supuestos!$C$28*Supuestos!$C$29*(Precios!$D$5-Precios!$D$6)+Supuestos!$C$23*Supuestos!$C$24*Supuestos!$C$11/1000000*Precios!$D$8</f>
        <v>3.3176000000000004E-2</v>
      </c>
      <c r="F4" s="17">
        <f>D4+E4*Supuestos!$C$4</f>
        <v>11.892352000000001</v>
      </c>
    </row>
    <row r="5" spans="1:6" ht="25.5" x14ac:dyDescent="0.25">
      <c r="A5" s="4" t="s">
        <v>205</v>
      </c>
      <c r="B5" s="4" t="s">
        <v>206</v>
      </c>
      <c r="C5" s="4" t="s">
        <v>207</v>
      </c>
      <c r="D5" s="17">
        <f>0</f>
        <v>0</v>
      </c>
      <c r="E5" s="17">
        <f>Supuestos!$C$23*Supuestos!$C$24*Supuestos!$C$11*(Supuestos!$C$25*(1-Supuestos!$C$27)*Precios!$D$9+Supuestos!$C$25*Supuestos!$C$27*Precios!$D$10+Supuestos!$C$26*Precios!$D$11)/1000</f>
        <v>3.114592</v>
      </c>
      <c r="F5" s="17">
        <f>D5+E5*Supuestos!$C$4</f>
        <v>6.2291840000000001</v>
      </c>
    </row>
    <row r="6" spans="1:6" ht="25.5" x14ac:dyDescent="0.25">
      <c r="A6" s="4" t="s">
        <v>208</v>
      </c>
      <c r="B6" s="4" t="s">
        <v>209</v>
      </c>
      <c r="C6" s="4" t="s">
        <v>210</v>
      </c>
      <c r="D6" s="17">
        <f>0</f>
        <v>0</v>
      </c>
      <c r="E6" s="17">
        <f>Supuestos!$C$31*Supuestos!$C$34*(Supuestos!$C$32*Precios!$D$5+Supuestos!$C$33*Precios!$D$7)</f>
        <v>3.0000000000000002E-2</v>
      </c>
      <c r="F6" s="17">
        <f>D6+E6*Supuestos!$C$4</f>
        <v>6.0000000000000005E-2</v>
      </c>
    </row>
    <row r="7" spans="1:6" ht="25.5" x14ac:dyDescent="0.25">
      <c r="A7" s="4" t="s">
        <v>211</v>
      </c>
      <c r="B7" s="4" t="s">
        <v>212</v>
      </c>
      <c r="C7" s="4" t="s">
        <v>213</v>
      </c>
      <c r="D7" s="17">
        <f>Supuestos!$C$46*Precios!$D$16+Supuestos!$C$38*Precios!$D$17</f>
        <v>16.09</v>
      </c>
      <c r="E7" s="17">
        <f>0</f>
        <v>0</v>
      </c>
      <c r="F7" s="17">
        <f>D7+E7*Supuestos!$C$4</f>
        <v>16.09</v>
      </c>
    </row>
    <row r="8" spans="1:6" ht="25.5" x14ac:dyDescent="0.25">
      <c r="A8" s="4" t="s">
        <v>214</v>
      </c>
      <c r="B8" s="4" t="s">
        <v>215</v>
      </c>
      <c r="C8" s="4" t="s">
        <v>216</v>
      </c>
      <c r="D8" s="17">
        <f>0</f>
        <v>0</v>
      </c>
      <c r="E8" s="17">
        <f>Supuestos!$C$12*((1-Supuestos!$C$13)+Supuestos!$C$13*Supuestos!$C$36)*(Supuestos!$C$35/1000000*Supuestos!$C$37*Precios!$D$18+Precios!$D$19/10000)</f>
        <v>0.13287895296000002</v>
      </c>
      <c r="F8" s="17">
        <f>D8+E8*Supuestos!$C$4</f>
        <v>0.26575790592000004</v>
      </c>
    </row>
    <row r="9" spans="1:6" ht="25.5" x14ac:dyDescent="0.25">
      <c r="A9" s="4" t="s">
        <v>217</v>
      </c>
      <c r="B9" s="4" t="s">
        <v>218</v>
      </c>
      <c r="C9" s="4" t="s">
        <v>219</v>
      </c>
      <c r="D9" s="17">
        <f>Supuestos!$C$45*Precios!$D$20</f>
        <v>25</v>
      </c>
      <c r="E9" s="17">
        <f>0</f>
        <v>0</v>
      </c>
      <c r="F9" s="17">
        <f>D9+E9*Supuestos!$C$4</f>
        <v>25</v>
      </c>
    </row>
    <row r="10" spans="1:6" ht="25.5" x14ac:dyDescent="0.25">
      <c r="A10" s="4" t="s">
        <v>220</v>
      </c>
      <c r="B10" s="4" t="s">
        <v>221</v>
      </c>
      <c r="C10" s="4" t="s">
        <v>222</v>
      </c>
      <c r="D10" s="17">
        <f>Precios!$D$21*365/12+Supuestos!$C$43*Precios!$D$22</f>
        <v>6.0674166666666665</v>
      </c>
      <c r="E10" s="17">
        <f>0</f>
        <v>0</v>
      </c>
      <c r="F10" s="17">
        <f>D10+E10*Supuestos!$C$4</f>
        <v>6.0674166666666665</v>
      </c>
    </row>
    <row r="11" spans="1:6" x14ac:dyDescent="0.25">
      <c r="A11" s="4" t="s">
        <v>223</v>
      </c>
      <c r="B11" s="4" t="s">
        <v>224</v>
      </c>
      <c r="C11" s="4" t="s">
        <v>225</v>
      </c>
      <c r="D11" s="17">
        <f>Supuestos!$C$44/10000*Precios!$D$23</f>
        <v>0.3</v>
      </c>
      <c r="E11" s="17">
        <f>0</f>
        <v>0</v>
      </c>
      <c r="F11" s="17">
        <f>D11+E11*Supuestos!$C$4</f>
        <v>0.3</v>
      </c>
    </row>
    <row r="12" spans="1:6" ht="25.5" x14ac:dyDescent="0.25">
      <c r="A12" s="4" t="s">
        <v>226</v>
      </c>
      <c r="B12" s="4" t="s">
        <v>227</v>
      </c>
      <c r="C12" s="4" t="s">
        <v>228</v>
      </c>
      <c r="D12" s="17">
        <f>MAX(0,Supuestos!$C$39-Supuestos!$C$41)*Precios!$D$24</f>
        <v>0</v>
      </c>
      <c r="E12" s="17">
        <f>IF(Supuestos!$C$39&gt;=Supuestos!$C$41,Supuestos!$C$40,MAX(0,Supuestos!$C$40-(Supuestos!$C$41-Supuestos!$C$39)/Supuestos!$C$4))*Precios!$D$24</f>
        <v>4.1399999999999997</v>
      </c>
      <c r="F12" s="17">
        <f>D12+E12*Supuestos!$C$4</f>
        <v>8.2799999999999994</v>
      </c>
    </row>
    <row r="13" spans="1:6" ht="25.5" x14ac:dyDescent="0.25">
      <c r="A13" s="4" t="s">
        <v>229</v>
      </c>
      <c r="B13" s="4" t="s">
        <v>230</v>
      </c>
      <c r="C13" s="4" t="s">
        <v>231</v>
      </c>
      <c r="D13" s="17">
        <f>Supuestos!$C$42*Precios!$D$25</f>
        <v>1.92</v>
      </c>
      <c r="E13" s="17">
        <f>0</f>
        <v>0</v>
      </c>
      <c r="F13" s="17">
        <f>D13+E13*Supuestos!$C$4</f>
        <v>1.92</v>
      </c>
    </row>
    <row r="14" spans="1:6" x14ac:dyDescent="0.25">
      <c r="A14" s="18" t="s">
        <v>232</v>
      </c>
      <c r="B14" s="4"/>
      <c r="C14" s="4" t="s">
        <v>233</v>
      </c>
      <c r="D14" s="19">
        <f>SUM(D4:D13)</f>
        <v>61.203416666666662</v>
      </c>
      <c r="E14" s="19">
        <f>SUM(E4:E13)</f>
        <v>7.4506469529599997</v>
      </c>
      <c r="F14" s="19">
        <f>SUM(F4:F13)</f>
        <v>76.104710572586669</v>
      </c>
    </row>
    <row r="16" spans="1:6" x14ac:dyDescent="0.25">
      <c r="A16" s="18" t="s">
        <v>234</v>
      </c>
    </row>
    <row r="17" spans="1:6" ht="25.5" x14ac:dyDescent="0.25">
      <c r="A17" s="3" t="s">
        <v>196</v>
      </c>
      <c r="B17" s="3" t="s">
        <v>235</v>
      </c>
      <c r="C17" s="3" t="s">
        <v>198</v>
      </c>
      <c r="D17" s="3" t="s">
        <v>199</v>
      </c>
      <c r="E17" s="3" t="s">
        <v>200</v>
      </c>
      <c r="F17" s="3" t="s">
        <v>201</v>
      </c>
    </row>
    <row r="18" spans="1:6" ht="25.5" x14ac:dyDescent="0.25">
      <c r="A18" s="4" t="s">
        <v>236</v>
      </c>
      <c r="B18" s="4" t="s">
        <v>237</v>
      </c>
      <c r="C18" s="4" t="s">
        <v>238</v>
      </c>
      <c r="D18" s="17">
        <f>0</f>
        <v>0</v>
      </c>
      <c r="E18" s="17">
        <f>(Supuestos!$C$19+Supuestos!$C$20)/Supuestos!$C$21+(Supuestos!$C$19+Supuestos!$C$20)*Supuestos!$C$22/12</f>
        <v>108.33333333333333</v>
      </c>
      <c r="F18" s="17">
        <f>D18+E18*Supuestos!$C$4</f>
        <v>216.66666666666666</v>
      </c>
    </row>
    <row r="20" spans="1:6" ht="25.5" x14ac:dyDescent="0.25">
      <c r="A20" s="18" t="s">
        <v>239</v>
      </c>
    </row>
    <row r="21" spans="1:6" ht="25.5" x14ac:dyDescent="0.25">
      <c r="A21" s="4" t="s">
        <v>240</v>
      </c>
      <c r="B21" s="4" t="s">
        <v>241</v>
      </c>
      <c r="C21" s="4" t="s">
        <v>242</v>
      </c>
      <c r="D21" s="17">
        <f>Supuestos!$C$46*Precios!$D$26</f>
        <v>73.73</v>
      </c>
      <c r="E21" s="4"/>
      <c r="F21" s="17">
        <f>D21</f>
        <v>73.73</v>
      </c>
    </row>
    <row r="22" spans="1:6" ht="25.5" x14ac:dyDescent="0.25">
      <c r="A22" s="4" t="s">
        <v>243</v>
      </c>
      <c r="B22" s="4" t="s">
        <v>244</v>
      </c>
      <c r="C22" s="4" t="s">
        <v>245</v>
      </c>
      <c r="D22" s="17">
        <f>Supuestos!$C$46*Precios!$D$27</f>
        <v>150.00039999999998</v>
      </c>
      <c r="E22" s="4"/>
      <c r="F22" s="17">
        <f>D22</f>
        <v>150.00039999999998</v>
      </c>
    </row>
    <row r="24" spans="1:6" ht="89.25" x14ac:dyDescent="0.25">
      <c r="A24" s="4" t="s">
        <v>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58" customWidth="1"/>
    <col min="2" max="2" width="16" customWidth="1"/>
    <col min="3" max="3" width="90" customWidth="1"/>
  </cols>
  <sheetData>
    <row r="1" spans="1:3" ht="18" x14ac:dyDescent="0.25">
      <c r="A1" s="1" t="s">
        <v>247</v>
      </c>
    </row>
    <row r="3" spans="1:3" x14ac:dyDescent="0.25">
      <c r="A3" s="3" t="s">
        <v>248</v>
      </c>
      <c r="B3" s="3" t="s">
        <v>46</v>
      </c>
      <c r="C3" s="3" t="s">
        <v>198</v>
      </c>
    </row>
    <row r="4" spans="1:3" x14ac:dyDescent="0.25">
      <c r="A4" s="20" t="s">
        <v>249</v>
      </c>
      <c r="B4" s="21"/>
      <c r="C4" s="21"/>
    </row>
    <row r="5" spans="1:3" x14ac:dyDescent="0.25">
      <c r="A5" s="4" t="s">
        <v>250</v>
      </c>
      <c r="B5" s="22">
        <f>Supuestos!$C$4*Supuestos!$C$9*Supuestos!$C$10*Supuestos!$C$14</f>
        <v>3600</v>
      </c>
      <c r="C5" s="4" t="s">
        <v>251</v>
      </c>
    </row>
    <row r="6" spans="1:3" x14ac:dyDescent="0.25">
      <c r="A6" s="20" t="s">
        <v>252</v>
      </c>
      <c r="B6" s="21"/>
      <c r="C6" s="21"/>
    </row>
    <row r="7" spans="1:3" x14ac:dyDescent="0.25">
      <c r="A7" s="4" t="s">
        <v>253</v>
      </c>
      <c r="B7" s="23">
        <f>'Costo mensual'!$F$14</f>
        <v>76.104710572586669</v>
      </c>
      <c r="C7" s="4" t="s">
        <v>254</v>
      </c>
    </row>
    <row r="8" spans="1:3" x14ac:dyDescent="0.25">
      <c r="A8" s="4" t="s">
        <v>255</v>
      </c>
      <c r="B8" s="23">
        <f>'Costo mensual'!$F$18</f>
        <v>216.66666666666666</v>
      </c>
      <c r="C8" s="4" t="s">
        <v>254</v>
      </c>
    </row>
    <row r="9" spans="1:3" x14ac:dyDescent="0.25">
      <c r="A9" s="4" t="s">
        <v>256</v>
      </c>
      <c r="B9" s="22">
        <f>Supuestos!$C$4*Supuestos!$C$9*Supuestos!$C$15*Supuestos!$C$14</f>
        <v>900</v>
      </c>
      <c r="C9" s="4" t="s">
        <v>257</v>
      </c>
    </row>
    <row r="10" spans="1:3" x14ac:dyDescent="0.25">
      <c r="A10" s="4" t="s">
        <v>258</v>
      </c>
      <c r="B10" s="22">
        <f>Supuestos!$C$16*Supuestos!$C$17</f>
        <v>500</v>
      </c>
      <c r="C10" s="4" t="s">
        <v>259</v>
      </c>
    </row>
    <row r="11" spans="1:3" x14ac:dyDescent="0.25">
      <c r="A11" s="18" t="s">
        <v>260</v>
      </c>
      <c r="B11" s="24">
        <f>SUM(B7:B10)</f>
        <v>1692.7713772392533</v>
      </c>
      <c r="C11" s="4" t="s">
        <v>261</v>
      </c>
    </row>
    <row r="13" spans="1:3" x14ac:dyDescent="0.25">
      <c r="A13" s="18" t="s">
        <v>262</v>
      </c>
      <c r="B13" s="22">
        <f>B5-B11</f>
        <v>1907.2286227607467</v>
      </c>
      <c r="C13" s="4" t="s">
        <v>263</v>
      </c>
    </row>
    <row r="14" spans="1:3" x14ac:dyDescent="0.25">
      <c r="A14" s="18" t="s">
        <v>264</v>
      </c>
      <c r="B14" s="25">
        <f>IF(B5=0,0,(B5-B11)/B5)</f>
        <v>0.52978572854465189</v>
      </c>
      <c r="C14" s="4" t="s">
        <v>265</v>
      </c>
    </row>
    <row r="15" spans="1:3" x14ac:dyDescent="0.25">
      <c r="A15" s="18" t="s">
        <v>266</v>
      </c>
      <c r="B15" s="23">
        <f>Supuestos!$C$18</f>
        <v>40000</v>
      </c>
      <c r="C15" s="4" t="s">
        <v>267</v>
      </c>
    </row>
    <row r="16" spans="1:3" x14ac:dyDescent="0.25">
      <c r="A16" s="18" t="s">
        <v>268</v>
      </c>
      <c r="B16" s="26">
        <f>IF(B5-B11&lt;=0,"no se recupera",Supuestos!$C$18/(B5-B11))</f>
        <v>20.972839607503008</v>
      </c>
      <c r="C16" s="4" t="s">
        <v>269</v>
      </c>
    </row>
    <row r="17" spans="1:3" x14ac:dyDescent="0.25">
      <c r="A17" s="18" t="s">
        <v>270</v>
      </c>
      <c r="B17" s="8">
        <f>Supuestos!$C$12*Supuestos!$C$4</f>
        <v>124800</v>
      </c>
      <c r="C17" s="4" t="s">
        <v>271</v>
      </c>
    </row>
    <row r="18" spans="1:3" x14ac:dyDescent="0.25">
      <c r="A18" s="18" t="s">
        <v>272</v>
      </c>
      <c r="B18" s="17">
        <f>IF(Supuestos!$C$12*Supuestos!$C$4=0,0,'Costo mensual'!$F$14/(Supuestos!$C$12*Supuestos!$C$4)*1000)</f>
        <v>0.6098133859982906</v>
      </c>
      <c r="C18" s="4" t="s">
        <v>273</v>
      </c>
    </row>
    <row r="19" spans="1:3" x14ac:dyDescent="0.25">
      <c r="A19" s="18" t="s">
        <v>274</v>
      </c>
      <c r="B19" s="17">
        <f>IF(Supuestos!$C$12*Supuestos!$C$4=0,0,B11/(Supuestos!$C$12*Supuestos!$C$4)*1000)</f>
        <v>13.56387321505812</v>
      </c>
      <c r="C19" s="4" t="s">
        <v>275</v>
      </c>
    </row>
    <row r="20" spans="1:3" x14ac:dyDescent="0.25">
      <c r="A20" s="18" t="s">
        <v>276</v>
      </c>
      <c r="B20" s="17">
        <f>IF(Supuestos!$C$12*Supuestos!$C$4=0,0,B5/(Supuestos!$C$12*Supuestos!$C$4)*1000)</f>
        <v>28.846153846153847</v>
      </c>
      <c r="C20" s="4" t="s">
        <v>277</v>
      </c>
    </row>
    <row r="21" spans="1:3" x14ac:dyDescent="0.25">
      <c r="A21" s="18" t="s">
        <v>278</v>
      </c>
      <c r="B21" s="25">
        <f>IF(B11=0,0,B7/B11)</f>
        <v>4.4958646865063435E-2</v>
      </c>
      <c r="C21" s="4" t="s">
        <v>279</v>
      </c>
    </row>
    <row r="23" spans="1:3" ht="51" x14ac:dyDescent="0.25">
      <c r="A23" s="4" t="s">
        <v>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44" customWidth="1"/>
    <col min="2" max="2" width="14" customWidth="1"/>
    <col min="3" max="4" width="16" customWidth="1"/>
    <col min="5" max="5" width="46" customWidth="1"/>
    <col min="6" max="7" width="18" customWidth="1"/>
    <col min="8" max="8" width="16" customWidth="1"/>
    <col min="9" max="9" width="18" customWidth="1"/>
  </cols>
  <sheetData>
    <row r="1" spans="1:9" ht="18" x14ac:dyDescent="0.25">
      <c r="A1" s="1" t="s">
        <v>281</v>
      </c>
    </row>
    <row r="3" spans="1:9" ht="25.5" x14ac:dyDescent="0.25">
      <c r="A3" s="3" t="s">
        <v>282</v>
      </c>
      <c r="B3" s="3" t="s">
        <v>253</v>
      </c>
      <c r="C3" s="3" t="s">
        <v>283</v>
      </c>
      <c r="D3" s="3" t="s">
        <v>284</v>
      </c>
      <c r="E3" s="3" t="s">
        <v>285</v>
      </c>
      <c r="F3" s="3" t="s">
        <v>286</v>
      </c>
      <c r="G3" s="3" t="s">
        <v>287</v>
      </c>
      <c r="H3" s="3" t="s">
        <v>262</v>
      </c>
      <c r="I3" s="3" t="s">
        <v>288</v>
      </c>
    </row>
    <row r="4" spans="1:9" x14ac:dyDescent="0.25">
      <c r="A4" s="6">
        <v>1</v>
      </c>
      <c r="B4" s="22">
        <f>'Costo mensual'!$D$14+'Costo mensual'!$E$14*A4</f>
        <v>68.654063619626669</v>
      </c>
      <c r="C4" s="22">
        <f>B4/A4</f>
        <v>68.654063619626669</v>
      </c>
      <c r="D4" s="22">
        <f>'Costo mensual'!$E$18*A4</f>
        <v>108.33333333333333</v>
      </c>
      <c r="E4" s="22">
        <f>A4*Supuestos!$C$9*Supuestos!$C$15*Supuestos!$C$14+Supuestos!$C$16*Supuestos!$C$17</f>
        <v>950</v>
      </c>
      <c r="F4" s="22">
        <f>B4+D4+E4</f>
        <v>1126.9873969529599</v>
      </c>
      <c r="G4" s="22">
        <f>A4*Supuestos!$C$9*Supuestos!$C$10*Supuestos!$C$14</f>
        <v>1800</v>
      </c>
      <c r="H4" s="22">
        <f>G4-F4</f>
        <v>673.0126030470401</v>
      </c>
      <c r="I4" s="26">
        <f>IF(H4&lt;=0,"no se recupera",Supuestos!$C$18/H4)</f>
        <v>59.434251036164042</v>
      </c>
    </row>
    <row r="5" spans="1:9" x14ac:dyDescent="0.25">
      <c r="A5" s="6">
        <v>2</v>
      </c>
      <c r="B5" s="22">
        <f>'Costo mensual'!$D$14+'Costo mensual'!$E$14*A5</f>
        <v>76.104710572586669</v>
      </c>
      <c r="C5" s="22">
        <f>B5/A5</f>
        <v>38.052355286293334</v>
      </c>
      <c r="D5" s="22">
        <f>'Costo mensual'!$E$18*A5</f>
        <v>216.66666666666666</v>
      </c>
      <c r="E5" s="22">
        <f>A5*Supuestos!$C$9*Supuestos!$C$15*Supuestos!$C$14+Supuestos!$C$16*Supuestos!$C$17</f>
        <v>1400</v>
      </c>
      <c r="F5" s="22">
        <f>B5+D5+E5</f>
        <v>1692.7713772392533</v>
      </c>
      <c r="G5" s="22">
        <f>A5*Supuestos!$C$9*Supuestos!$C$10*Supuestos!$C$14</f>
        <v>3600</v>
      </c>
      <c r="H5" s="22">
        <f>G5-F5</f>
        <v>1907.2286227607467</v>
      </c>
      <c r="I5" s="26">
        <f>IF(H5&lt;=0,"no se recupera",Supuestos!$C$18/H5)</f>
        <v>20.972839607503008</v>
      </c>
    </row>
    <row r="6" spans="1:9" x14ac:dyDescent="0.25">
      <c r="A6" s="6">
        <v>5</v>
      </c>
      <c r="B6" s="22">
        <f>'Costo mensual'!$D$14+'Costo mensual'!$E$14*A6</f>
        <v>98.456651431466668</v>
      </c>
      <c r="C6" s="22">
        <f>B6/A6</f>
        <v>19.691330286293333</v>
      </c>
      <c r="D6" s="22">
        <f>'Costo mensual'!$E$18*A6</f>
        <v>541.66666666666663</v>
      </c>
      <c r="E6" s="22">
        <f>A6*Supuestos!$C$9*Supuestos!$C$15*Supuestos!$C$14+Supuestos!$C$16*Supuestos!$C$17</f>
        <v>2750</v>
      </c>
      <c r="F6" s="22">
        <f>B6+D6+E6</f>
        <v>3390.1233180981335</v>
      </c>
      <c r="G6" s="22">
        <f>A6*Supuestos!$C$9*Supuestos!$C$10*Supuestos!$C$14</f>
        <v>9000</v>
      </c>
      <c r="H6" s="22">
        <f>G6-F6</f>
        <v>5609.8766819018665</v>
      </c>
      <c r="I6" s="26">
        <f>IF(H6&lt;=0,"no se recupera",Supuestos!$C$18/H6)</f>
        <v>7.130281513860151</v>
      </c>
    </row>
    <row r="7" spans="1:9" x14ac:dyDescent="0.25">
      <c r="A7" s="6">
        <v>10</v>
      </c>
      <c r="B7" s="22">
        <f>'Costo mensual'!$D$14+'Costo mensual'!$E$14*A7</f>
        <v>135.70988619626667</v>
      </c>
      <c r="C7" s="22">
        <f>B7/A7</f>
        <v>13.570988619626666</v>
      </c>
      <c r="D7" s="22">
        <f>'Costo mensual'!$E$18*A7</f>
        <v>1083.3333333333333</v>
      </c>
      <c r="E7" s="22">
        <f>A7*Supuestos!$C$9*Supuestos!$C$15*Supuestos!$C$14+Supuestos!$C$16*Supuestos!$C$17</f>
        <v>5000</v>
      </c>
      <c r="F7" s="22">
        <f>B7+D7+E7</f>
        <v>6219.0432195295998</v>
      </c>
      <c r="G7" s="22">
        <f>A7*Supuestos!$C$9*Supuestos!$C$10*Supuestos!$C$14</f>
        <v>18000</v>
      </c>
      <c r="H7" s="22">
        <f>G7-F7</f>
        <v>11780.9567804704</v>
      </c>
      <c r="I7" s="26">
        <f>IF(H7&lt;=0,"no se recupera",Supuestos!$C$18/H7)</f>
        <v>3.3953099689075379</v>
      </c>
    </row>
    <row r="8" spans="1:9" x14ac:dyDescent="0.25">
      <c r="A8" s="6">
        <v>20</v>
      </c>
      <c r="B8" s="22">
        <f>'Costo mensual'!$D$14+'Costo mensual'!$E$14*A8</f>
        <v>210.21635572586666</v>
      </c>
      <c r="C8" s="22">
        <f>B8/A8</f>
        <v>10.510817786293334</v>
      </c>
      <c r="D8" s="22">
        <f>'Costo mensual'!$E$18*A8</f>
        <v>2166.6666666666665</v>
      </c>
      <c r="E8" s="22">
        <f>A8*Supuestos!$C$9*Supuestos!$C$15*Supuestos!$C$14+Supuestos!$C$16*Supuestos!$C$17</f>
        <v>9500</v>
      </c>
      <c r="F8" s="22">
        <f>B8+D8+E8</f>
        <v>11876.883022392532</v>
      </c>
      <c r="G8" s="22">
        <f>A8*Supuestos!$C$9*Supuestos!$C$10*Supuestos!$C$14</f>
        <v>36000</v>
      </c>
      <c r="H8" s="22">
        <f>G8-F8</f>
        <v>24123.116977607468</v>
      </c>
      <c r="I8" s="26">
        <f>IF(H8&lt;=0,"no se recupera",Supuestos!$C$18/H8)</f>
        <v>1.6581605120569789</v>
      </c>
    </row>
    <row r="10" spans="1:9" ht="51" x14ac:dyDescent="0.25">
      <c r="A10" s="4" t="s">
        <v>289</v>
      </c>
    </row>
    <row r="13" spans="1:9" x14ac:dyDescent="0.25">
      <c r="A13" s="27" t="s">
        <v>290</v>
      </c>
    </row>
    <row r="14" spans="1:9" x14ac:dyDescent="0.25">
      <c r="A14" s="3" t="s">
        <v>291</v>
      </c>
      <c r="B14" s="3" t="s">
        <v>46</v>
      </c>
      <c r="C14" s="3"/>
      <c r="D14" s="3"/>
      <c r="E14" s="3" t="s">
        <v>292</v>
      </c>
    </row>
    <row r="15" spans="1:9" x14ac:dyDescent="0.25">
      <c r="A15" s="4" t="s">
        <v>293</v>
      </c>
      <c r="B15" s="17">
        <f>Supuestos!$C$23*Supuestos!$C$24*Supuestos!$C$11*Supuestos!$C$4*(Supuestos!$C$25*Precios!$D$9+Supuestos!$C$26*Precios!$D$11)/1000</f>
        <v>6.2291840000000001</v>
      </c>
      <c r="E15" s="4" t="s">
        <v>294</v>
      </c>
    </row>
    <row r="16" spans="1:9" x14ac:dyDescent="0.25">
      <c r="A16" s="4" t="s">
        <v>295</v>
      </c>
      <c r="B16" s="17">
        <f>Supuestos!$C$23*Supuestos!$C$24*Supuestos!$C$11*Supuestos!$C$4*(Supuestos!$C$25*Precios!$D$12+Supuestos!$C$26*Precios!$D$13)/1000</f>
        <v>6.8521024000000015</v>
      </c>
      <c r="E16" s="4" t="s">
        <v>296</v>
      </c>
    </row>
    <row r="17" spans="1:5" ht="25.5" x14ac:dyDescent="0.25">
      <c r="A17" s="4" t="s">
        <v>297</v>
      </c>
      <c r="B17" s="17">
        <f>Supuestos!$C$23*Supuestos!$C$24*Supuestos!$C$11*Supuestos!$C$4*(Supuestos!$C$25*0.5*Precios!$D$9+Supuestos!$C$25*0.5*Precios!$D$10+Supuestos!$C$26*Precios!$D$11)/1000</f>
        <v>4.1128879999999999</v>
      </c>
      <c r="E17" s="4" t="s">
        <v>298</v>
      </c>
    </row>
    <row r="18" spans="1:5" ht="25.5" x14ac:dyDescent="0.25">
      <c r="A18" s="4" t="s">
        <v>299</v>
      </c>
      <c r="B18" s="17">
        <f>Supuestos!$C$23*Supuestos!$C$24*Supuestos!$C$11*Supuestos!$C$4*(Supuestos!$C$25*Precios!$D$14+Supuestos!$C$26*Precios!$D$15)/1000</f>
        <v>1.557296</v>
      </c>
      <c r="E18" s="4" t="s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Léeme</vt:lpstr>
      <vt:lpstr>Supuestos</vt:lpstr>
      <vt:lpstr>Precios</vt:lpstr>
      <vt:lpstr>Costo mensual</vt:lpstr>
      <vt:lpstr>Caso de negocio</vt:lpstr>
      <vt:lpstr>Escenarios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Isabela</cp:lastModifiedBy>
  <dcterms:created xsi:type="dcterms:W3CDTF">2026-10-11T00:42:12Z</dcterms:created>
  <dcterms:modified xsi:type="dcterms:W3CDTF">2026-10-11T00:42:27Z</dcterms:modified>
</cp:coreProperties>
</file>